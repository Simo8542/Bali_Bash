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egner" sheetId="1" state="visible" r:id="rId1"/>
    <sheet name="Forklarin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kr&quot;"/>
    <numFmt numFmtId="165" formatCode="0.00&quot;%&quot;"/>
    <numFmt numFmtId="166" formatCode="0.0"/>
  </numFmts>
  <fonts count="8">
    <font>
      <name val="Calibri"/>
      <family val="2"/>
      <color theme="1"/>
      <sz val="11"/>
      <scheme val="minor"/>
    </font>
    <font>
      <b val="1"/>
      <color rgb="001A1208"/>
      <sz val="18"/>
    </font>
    <font>
      <i val="1"/>
      <color rgb="008A7D6B"/>
      <sz val="11"/>
    </font>
    <font>
      <name val="Calibri"/>
      <b val="1"/>
      <color rgb="00FBF6EE"/>
      <sz val="11"/>
    </font>
    <font/>
    <font>
      <b val="1"/>
    </font>
    <font>
      <i val="1"/>
      <color rgb="008A7D6B"/>
    </font>
    <font>
      <b val="1"/>
      <color rgb="00C4622D"/>
      <sz val="12"/>
    </font>
  </fonts>
  <fills count="7">
    <fill>
      <patternFill/>
    </fill>
    <fill>
      <patternFill patternType="gray125"/>
    </fill>
    <fill>
      <patternFill patternType="solid">
        <fgColor rgb="001A1208"/>
      </patternFill>
    </fill>
    <fill>
      <patternFill patternType="solid">
        <fgColor rgb="00C4622D"/>
      </patternFill>
    </fill>
    <fill>
      <patternFill patternType="solid">
        <fgColor rgb="00FFF4D6"/>
      </patternFill>
    </fill>
    <fill>
      <patternFill patternType="solid">
        <fgColor rgb="00E8F1E5"/>
      </patternFill>
    </fill>
    <fill>
      <patternFill patternType="solid">
        <fgColor rgb="00D4A84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164" fontId="5" fillId="4" borderId="1" pivotButton="0" quotePrefix="0" xfId="0"/>
    <xf numFmtId="0" fontId="6" fillId="0" borderId="0" pivotButton="0" quotePrefix="0" xfId="0"/>
    <xf numFmtId="165" fontId="5" fillId="4" borderId="1" pivotButton="0" quotePrefix="0" xfId="0"/>
    <xf numFmtId="2" fontId="5" fillId="4" borderId="1" pivotButton="0" quotePrefix="0" xfId="0"/>
    <xf numFmtId="166" fontId="5" fillId="4" borderId="1" pivotButton="0" quotePrefix="0" xfId="0"/>
    <xf numFmtId="164" fontId="0" fillId="5" borderId="0" pivotButton="0" quotePrefix="0" xfId="0"/>
    <xf numFmtId="164" fontId="5" fillId="5" borderId="0" pivotButton="0" quotePrefix="0" xfId="0"/>
    <xf numFmtId="164" fontId="5" fillId="6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49" fontId="5" fillId="6" borderId="0" pivotButton="0" quotePrefix="0" xfId="0"/>
    <xf numFmtId="0" fontId="3" fillId="2" borderId="0" applyAlignment="1" pivotButton="0" quotePrefix="0" xfId="0">
      <alignment horizontal="center"/>
    </xf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28" customHeight="1">
      <c r="A1" s="1" t="inlineStr">
        <is>
          <t>UDLEJNING BUSINESS CASE</t>
        </is>
      </c>
    </row>
    <row r="2">
      <c r="A2" s="2" t="inlineStr">
        <is>
          <t>Helårsudlejning · Ceresbyen, Aarhus C</t>
        </is>
      </c>
    </row>
    <row r="4" ht="22" customHeight="1">
      <c r="A4" s="3" t="inlineStr">
        <is>
          <t xml:space="preserve">  INPUT  (juster gule felter)</t>
        </is>
      </c>
    </row>
    <row r="6" ht="22" customHeight="1">
      <c r="A6" s="4" t="inlineStr">
        <is>
          <t xml:space="preserve">  LÅN  (Jyske Bank prioritetslån Cibor3)</t>
        </is>
      </c>
    </row>
    <row r="7">
      <c r="A7" s="5" t="inlineStr">
        <is>
          <t>Restgæld</t>
        </is>
      </c>
      <c r="B7" s="6" t="n">
        <v>2086317</v>
      </c>
      <c r="C7" s="7" t="inlineStr">
        <is>
          <t>kr</t>
        </is>
      </c>
    </row>
    <row r="8">
      <c r="A8" s="5" t="inlineStr">
        <is>
          <t>Debitorrente</t>
        </is>
      </c>
      <c r="B8" s="8" t="n">
        <v>2.84</v>
      </c>
      <c r="C8" s="7" t="inlineStr">
        <is>
          <t>% p.a.</t>
        </is>
      </c>
    </row>
    <row r="9">
      <c r="A9" s="5" t="inlineStr">
        <is>
          <t>Månedlig ydelse (før skat)</t>
        </is>
      </c>
      <c r="B9" s="6" t="n">
        <v>12150</v>
      </c>
      <c r="C9" s="7" t="inlineStr">
        <is>
          <t>kr/md</t>
        </is>
      </c>
    </row>
    <row r="11" ht="22" customHeight="1">
      <c r="A11" s="4" t="inlineStr">
        <is>
          <t xml:space="preserve">  EJENDOM</t>
        </is>
      </c>
    </row>
    <row r="12">
      <c r="A12" s="5" t="inlineStr">
        <is>
          <t>Offentlig ejendomsvurdering</t>
        </is>
      </c>
      <c r="B12" s="6" t="n">
        <v>4324000</v>
      </c>
      <c r="C12" s="7" t="inlineStr">
        <is>
          <t>kr</t>
        </is>
      </c>
    </row>
    <row r="13">
      <c r="A13" s="5" t="inlineStr">
        <is>
          <t>Grundværdi</t>
        </is>
      </c>
      <c r="B13" s="6" t="n">
        <v>2338000</v>
      </c>
      <c r="C13" s="7" t="inlineStr">
        <is>
          <t>kr</t>
        </is>
      </c>
    </row>
    <row r="14">
      <c r="A14" s="5" t="inlineStr">
        <is>
          <t>Grundskyldspromille (Aarhus)</t>
        </is>
      </c>
      <c r="B14" s="9" t="n">
        <v>5.6</v>
      </c>
      <c r="C14" s="7" t="inlineStr">
        <is>
          <t>‰</t>
        </is>
      </c>
    </row>
    <row r="15">
      <c r="A15" s="5" t="inlineStr">
        <is>
          <t>Kontant anskaffelsessum (KAO)</t>
        </is>
      </c>
      <c r="B15" s="6" t="n">
        <v>4875000</v>
      </c>
      <c r="C15" s="7" t="inlineStr">
        <is>
          <t>kr</t>
        </is>
      </c>
    </row>
    <row r="17" ht="22" customHeight="1">
      <c r="A17" s="4" t="inlineStr">
        <is>
          <t xml:space="preserve">  DRIFTSUDGIFTER  (månedlig)</t>
        </is>
      </c>
    </row>
    <row r="18">
      <c r="A18" s="5" t="inlineStr">
        <is>
          <t>Ejerforeningsbidrag</t>
        </is>
      </c>
      <c r="B18" s="6" t="n">
        <v>1810</v>
      </c>
      <c r="C18" s="7" t="inlineStr">
        <is>
          <t>kr/md</t>
        </is>
      </c>
    </row>
    <row r="19">
      <c r="A19" s="5" t="inlineStr">
        <is>
          <t>Indboforsikring</t>
        </is>
      </c>
      <c r="B19" s="6" t="n">
        <v>250</v>
      </c>
      <c r="C19" s="7" t="inlineStr">
        <is>
          <t>kr/md</t>
        </is>
      </c>
    </row>
    <row r="20">
      <c r="A20" s="5" t="inlineStr">
        <is>
          <t>Vedligehold (% af ejendomsværdi p.a.)</t>
        </is>
      </c>
      <c r="B20" s="10" t="n">
        <v>0.5</v>
      </c>
      <c r="C20" s="7" t="inlineStr">
        <is>
          <t>%</t>
        </is>
      </c>
    </row>
    <row r="21">
      <c r="A21" s="5" t="inlineStr">
        <is>
          <t>Forbrug betalt af ejer (0 = lejer aconto)</t>
        </is>
      </c>
      <c r="B21" s="6" t="n">
        <v>0</v>
      </c>
      <c r="C21" s="7" t="inlineStr">
        <is>
          <t>kr/md</t>
        </is>
      </c>
    </row>
    <row r="22">
      <c r="A22" s="5" t="inlineStr">
        <is>
          <t>Andre faste omkostninger</t>
        </is>
      </c>
      <c r="B22" s="6" t="n">
        <v>0</v>
      </c>
      <c r="C22" s="7" t="inlineStr">
        <is>
          <t>kr/md</t>
        </is>
      </c>
    </row>
    <row r="24" ht="22" customHeight="1">
      <c r="A24" s="4" t="inlineStr">
        <is>
          <t xml:space="preserve">  SKATTESATSER</t>
        </is>
      </c>
    </row>
    <row r="25">
      <c r="A25" s="5" t="inlineStr">
        <is>
          <t>Marg.skat positiv kapitalindkomst</t>
        </is>
      </c>
      <c r="B25" s="8" t="n">
        <v>37.7</v>
      </c>
      <c r="C25" s="7" t="inlineStr">
        <is>
          <t>%</t>
        </is>
      </c>
    </row>
    <row r="26">
      <c r="A26" s="5" t="inlineStr">
        <is>
          <t>Marg.skat negativ kapitalindkomst</t>
        </is>
      </c>
      <c r="B26" s="8" t="n">
        <v>25.6</v>
      </c>
      <c r="C26" s="7" t="inlineStr">
        <is>
          <t>%</t>
        </is>
      </c>
    </row>
    <row r="27">
      <c r="A27" s="5" t="inlineStr">
        <is>
          <t>Marg.skat personlig indkomst</t>
        </is>
      </c>
      <c r="B27" s="8" t="n">
        <v>52.07</v>
      </c>
      <c r="C27" s="7" t="inlineStr">
        <is>
          <t>%</t>
        </is>
      </c>
    </row>
    <row r="28">
      <c r="A28" s="5" t="inlineStr">
        <is>
          <t>VSO foreløbig skat (opsparet)</t>
        </is>
      </c>
      <c r="B28" s="8" t="n">
        <v>22</v>
      </c>
      <c r="C28" s="7" t="inlineStr">
        <is>
          <t>%</t>
        </is>
      </c>
    </row>
    <row r="29">
      <c r="A29" s="5" t="inlineStr">
        <is>
          <t>KAO afkastsats</t>
        </is>
      </c>
      <c r="B29" s="8" t="n">
        <v>3</v>
      </c>
      <c r="C29" s="7" t="inlineStr">
        <is>
          <t>%</t>
        </is>
      </c>
    </row>
    <row r="31" ht="22" customHeight="1">
      <c r="A31" s="4" t="inlineStr">
        <is>
          <t xml:space="preserve">  LEJEINDTÆGT</t>
        </is>
      </c>
    </row>
    <row r="32">
      <c r="A32" s="5" t="inlineStr">
        <is>
          <t>Månedlig leje (test-niveau)</t>
        </is>
      </c>
      <c r="B32" s="6" t="n">
        <v>16000</v>
      </c>
      <c r="C32" s="7" t="inlineStr">
        <is>
          <t>kr/md</t>
        </is>
      </c>
    </row>
    <row r="33">
      <c r="A33" s="5" t="inlineStr">
        <is>
          <t>Tomgang (% af året)</t>
        </is>
      </c>
      <c r="B33" s="8" t="n">
        <v>0</v>
      </c>
      <c r="C33" s="7" t="inlineStr">
        <is>
          <t>%</t>
        </is>
      </c>
    </row>
    <row r="35" ht="22" customHeight="1">
      <c r="A35" s="3" t="inlineStr">
        <is>
          <t xml:space="preserve">  AUTOBEREGNET</t>
        </is>
      </c>
    </row>
    <row r="36">
      <c r="A36" s="5" t="inlineStr">
        <is>
          <t>Månedlige renter</t>
        </is>
      </c>
      <c r="B36" s="11">
        <f>B7*B8/100/12</f>
        <v/>
      </c>
      <c r="C36" s="7" t="inlineStr">
        <is>
          <t>kr/md</t>
        </is>
      </c>
    </row>
    <row r="37">
      <c r="A37" s="5" t="inlineStr">
        <is>
          <t>Månedligt afdrag</t>
        </is>
      </c>
      <c r="B37" s="11">
        <f>B9-B36</f>
        <v/>
      </c>
      <c r="C37" s="7" t="inlineStr">
        <is>
          <t>kr/md</t>
        </is>
      </c>
    </row>
    <row r="38">
      <c r="A38" s="5" t="inlineStr">
        <is>
          <t>Årlige renter</t>
        </is>
      </c>
      <c r="B38" s="11">
        <f>B36*12</f>
        <v/>
      </c>
      <c r="C38" s="7" t="inlineStr">
        <is>
          <t>kr/år</t>
        </is>
      </c>
    </row>
    <row r="39">
      <c r="A39" s="5" t="inlineStr">
        <is>
          <t>Årligt afdrag</t>
        </is>
      </c>
      <c r="B39" s="11">
        <f>B37*12</f>
        <v/>
      </c>
      <c r="C39" s="7" t="inlineStr">
        <is>
          <t>kr/år</t>
        </is>
      </c>
    </row>
    <row r="40">
      <c r="A40" s="5" t="inlineStr">
        <is>
          <t>Grundskyld månedlig</t>
        </is>
      </c>
      <c r="B40" s="11">
        <f>B13*B14/1000/12</f>
        <v/>
      </c>
      <c r="C40" s="7" t="inlineStr">
        <is>
          <t>kr/md</t>
        </is>
      </c>
    </row>
    <row r="41">
      <c r="A41" s="5" t="inlineStr">
        <is>
          <t>Vedligehold månedlig</t>
        </is>
      </c>
      <c r="B41" s="11">
        <f>B12*B20/100/12</f>
        <v/>
      </c>
      <c r="C41" s="7" t="inlineStr">
        <is>
          <t>kr/md</t>
        </is>
      </c>
    </row>
    <row r="42">
      <c r="A42" s="5" t="inlineStr">
        <is>
          <t>Drift TOTAL månedlig</t>
        </is>
      </c>
      <c r="B42" s="12">
        <f>B18+B19+B40+B41+B21+B22</f>
        <v/>
      </c>
      <c r="C42" s="7" t="inlineStr">
        <is>
          <t>kr/md</t>
        </is>
      </c>
    </row>
    <row r="43">
      <c r="A43" s="5" t="inlineStr">
        <is>
          <t>Drift TOTAL årlig</t>
        </is>
      </c>
      <c r="B43" s="12">
        <f>B42*12</f>
        <v/>
      </c>
      <c r="C43" s="7" t="inlineStr">
        <is>
          <t>kr/år</t>
        </is>
      </c>
    </row>
    <row r="44">
      <c r="A44" s="5" t="inlineStr">
        <is>
          <t>Effektiv leje månedlig (efter tomgang)</t>
        </is>
      </c>
      <c r="B44" s="11">
        <f>B32*(1-B33/100)</f>
        <v/>
      </c>
      <c r="C44" s="7" t="inlineStr">
        <is>
          <t>kr/md</t>
        </is>
      </c>
    </row>
    <row r="45">
      <c r="A45" s="5" t="inlineStr">
        <is>
          <t>Effektiv leje årlig</t>
        </is>
      </c>
      <c r="B45" s="11">
        <f>B44*12</f>
        <v/>
      </c>
      <c r="C45" s="7" t="inlineStr">
        <is>
          <t>kr/år</t>
        </is>
      </c>
    </row>
    <row r="47" ht="22" customHeight="1">
      <c r="A47" s="3" t="inlineStr">
        <is>
          <t xml:space="preserve">  CASHFLOW VED VALGTE LEJE  (kr/md, før skat)</t>
        </is>
      </c>
    </row>
    <row r="48">
      <c r="A48" s="5" t="inlineStr">
        <is>
          <t>+ Bruttoleje</t>
        </is>
      </c>
      <c r="B48" s="11">
        <f>B44</f>
        <v/>
      </c>
    </row>
    <row r="49">
      <c r="A49" s="5" t="inlineStr">
        <is>
          <t>− Drift</t>
        </is>
      </c>
      <c r="B49" s="11">
        <f>-B42</f>
        <v/>
      </c>
    </row>
    <row r="50">
      <c r="A50" s="5" t="inlineStr">
        <is>
          <t>− Ydelse (rente+afdrag)</t>
        </is>
      </c>
      <c r="B50" s="11">
        <f>-B9</f>
        <v/>
      </c>
    </row>
    <row r="51">
      <c r="A51" s="5">
        <f> LIKVIDITET (før skat)</f>
        <v/>
      </c>
      <c r="B51" s="13">
        <f>B48+B49+B50</f>
        <v/>
      </c>
    </row>
    <row r="52">
      <c r="A52" s="5" t="inlineStr">
        <is>
          <t>+ Afdrag tilbageført som formueopbygning</t>
        </is>
      </c>
      <c r="B52" s="11">
        <f>B37</f>
        <v/>
      </c>
    </row>
    <row r="53">
      <c r="A53" s="5">
        <f> ØKONOMISK OVERSKUD (før skat)</f>
        <v/>
      </c>
      <c r="B53" s="13">
        <f>B51+B52</f>
        <v/>
      </c>
    </row>
    <row r="55" ht="22" customHeight="1">
      <c r="A55" s="3" t="inlineStr">
        <is>
          <t xml:space="preserve">  SKATTEPLIGTIGT RESULTAT  (årligt, regnskabsmæssigt)</t>
        </is>
      </c>
    </row>
    <row r="56">
      <c r="A56" s="5" t="inlineStr">
        <is>
          <t>+ Bruttoleje (årlig)</t>
        </is>
      </c>
      <c r="B56" s="11">
        <f>B45</f>
        <v/>
      </c>
    </row>
    <row r="57">
      <c r="A57" s="5" t="inlineStr">
        <is>
          <t>− Driftsudgifter</t>
        </is>
      </c>
      <c r="B57" s="11">
        <f>-B43</f>
        <v/>
      </c>
    </row>
    <row r="58">
      <c r="A58" s="5">
        <f> Resultat FØR renter</f>
        <v/>
      </c>
      <c r="B58" s="12">
        <f>B56+B57</f>
        <v/>
      </c>
    </row>
    <row r="59">
      <c r="A59" s="5" t="inlineStr">
        <is>
          <t>− Renter</t>
        </is>
      </c>
      <c r="B59" s="11">
        <f>-B38</f>
        <v/>
      </c>
    </row>
    <row r="60">
      <c r="A60" s="5">
        <f> Resultat EFTER renter</f>
        <v/>
      </c>
      <c r="B60" s="12">
        <f>B58+B59</f>
        <v/>
      </c>
    </row>
    <row r="61">
      <c r="A61" s="7" t="inlineStr">
        <is>
          <t>Note: ejendomsværdiskat = 0 ved 100% helårsudlejning hele året</t>
        </is>
      </c>
    </row>
    <row r="63" ht="22" customHeight="1">
      <c r="A63" s="3" t="inlineStr">
        <is>
          <t xml:space="preserve">  SKATTEMETODER · SAMMENLIGNING  (årligt)</t>
        </is>
      </c>
    </row>
    <row r="64" ht="36" customHeight="1">
      <c r="A64" s="14" t="inlineStr"/>
      <c r="B64" s="15" t="inlineStr">
        <is>
          <t>M1  Personlig
kapitalindkomst</t>
        </is>
      </c>
      <c r="C64" s="15" t="inlineStr">
        <is>
          <t>M2  VSO
(udbetalt)</t>
        </is>
      </c>
      <c r="D64" s="15" t="inlineStr">
        <is>
          <t>M3  VSO
(opsparet, foreløbig)</t>
        </is>
      </c>
      <c r="E64" s="15" t="inlineStr">
        <is>
          <t>M4  KAO
(kapitalafkastordning)</t>
        </is>
      </c>
    </row>
    <row r="65">
      <c r="A65" s="5" t="inlineStr">
        <is>
          <t>Resultat før renter (grundlag)</t>
        </is>
      </c>
      <c r="B65" s="11">
        <f>B58</f>
        <v/>
      </c>
      <c r="C65" s="11">
        <f>B58</f>
        <v/>
      </c>
      <c r="D65" s="11">
        <f>B58</f>
        <v/>
      </c>
      <c r="E65" s="11">
        <f>B58</f>
        <v/>
      </c>
    </row>
    <row r="66">
      <c r="A66" s="5" t="inlineStr">
        <is>
          <t>− Renter (i grundlaget)</t>
        </is>
      </c>
      <c r="B66" s="11" t="n">
        <v>0</v>
      </c>
      <c r="C66" s="11">
        <f>-B38</f>
        <v/>
      </c>
      <c r="D66" s="11">
        <f>-B38</f>
        <v/>
      </c>
      <c r="E66" s="11">
        <f>-B38</f>
        <v/>
      </c>
    </row>
    <row r="67">
      <c r="A67" s="5" t="inlineStr">
        <is>
          <t>− KAO kapitalafkast (flyttes til kap.indk.)</t>
        </is>
      </c>
      <c r="B67" s="11" t="n">
        <v>0</v>
      </c>
      <c r="C67" s="11" t="n">
        <v>0</v>
      </c>
      <c r="D67" s="11" t="n">
        <v>0</v>
      </c>
      <c r="E67" s="11">
        <f>-MIN($B$15*$B$29/100, MAX(0, B58-B38))</f>
        <v/>
      </c>
    </row>
    <row r="68">
      <c r="A68" s="5">
        <f> Skattegrundlag</f>
        <v/>
      </c>
      <c r="B68" s="12">
        <f>SUM(B65:B67)</f>
        <v/>
      </c>
      <c r="C68" s="12">
        <f>SUM(C65:C67)</f>
        <v/>
      </c>
      <c r="D68" s="12">
        <f>SUM(D65:D67)</f>
        <v/>
      </c>
      <c r="E68" s="12">
        <f>SUM(E65:E67)</f>
        <v/>
      </c>
    </row>
    <row r="69">
      <c r="A69" s="5" t="inlineStr">
        <is>
          <t>Skat af grundlag</t>
        </is>
      </c>
      <c r="B69" s="11">
        <f>IF(B68&gt;=0, B68*$B$25/100, B68*$B$26/100)</f>
        <v/>
      </c>
      <c r="C69" s="11">
        <f>C68*$B$27/100</f>
        <v/>
      </c>
      <c r="D69" s="11">
        <f>D68*$B$28/100</f>
        <v/>
      </c>
      <c r="E69" s="11">
        <f>E68*$B$27/100 + MIN($B$15*$B$29/100, MAX(0, B58-B38))*$B$25/100</f>
        <v/>
      </c>
    </row>
    <row r="70">
      <c r="A70" s="5" t="inlineStr">
        <is>
          <t>− Værdi af privat rentefradrag</t>
        </is>
      </c>
      <c r="B70" s="11">
        <f>-B38*$B$26/100</f>
        <v/>
      </c>
      <c r="C70" s="11" t="n">
        <v>0</v>
      </c>
      <c r="D70" s="11" t="n">
        <v>0</v>
      </c>
      <c r="E70" s="11" t="n">
        <v>0</v>
      </c>
    </row>
    <row r="71">
      <c r="A71" s="5">
        <f> NETTOSKAT (årlig)</f>
        <v/>
      </c>
      <c r="B71" s="13">
        <f>B69+B70</f>
        <v/>
      </c>
      <c r="C71" s="13">
        <f>C69+C70</f>
        <v/>
      </c>
      <c r="D71" s="13">
        <f>D69+D70</f>
        <v/>
      </c>
      <c r="E71" s="13">
        <f>E69+E70</f>
        <v/>
      </c>
    </row>
    <row r="72">
      <c r="A72" s="5" t="inlineStr">
        <is>
          <t>Overskud efter skat (årligt, formue ekskl.)</t>
        </is>
      </c>
      <c r="B72" s="11">
        <f>B60-B71</f>
        <v/>
      </c>
      <c r="C72" s="11">
        <f>B60-C71</f>
        <v/>
      </c>
      <c r="D72" s="11">
        <f>B60-D71</f>
        <v/>
      </c>
      <c r="E72" s="11">
        <f>B60-E71</f>
        <v/>
      </c>
    </row>
    <row r="73">
      <c r="A73" s="5" t="inlineStr">
        <is>
          <t>Likviditet efter skat (årligt, formue inkl.)</t>
        </is>
      </c>
      <c r="B73" s="11">
        <f>B72-B39</f>
        <v/>
      </c>
      <c r="C73" s="11">
        <f>C72-B39</f>
        <v/>
      </c>
      <c r="D73" s="11">
        <f>D72-B39</f>
        <v/>
      </c>
      <c r="E73" s="11">
        <f>E72-B39</f>
        <v/>
      </c>
    </row>
    <row r="74">
      <c r="A74" s="5" t="inlineStr">
        <is>
          <t>Likviditet efter skat (kr/md)</t>
        </is>
      </c>
      <c r="B74" s="12">
        <f>B73/12</f>
        <v/>
      </c>
      <c r="C74" s="12">
        <f>C73/12</f>
        <v/>
      </c>
      <c r="D74" s="12">
        <f>D73/12</f>
        <v/>
      </c>
      <c r="E74" s="12">
        <f>E73/12</f>
        <v/>
      </c>
    </row>
    <row r="75">
      <c r="A75" s="5" t="inlineStr">
        <is>
          <t>Reelt overskud m. formueopbygning (kr/md)</t>
        </is>
      </c>
      <c r="B75" s="13">
        <f>B72/12</f>
        <v/>
      </c>
      <c r="C75" s="13">
        <f>C72/12</f>
        <v/>
      </c>
      <c r="D75" s="13">
        <f>D72/12</f>
        <v/>
      </c>
      <c r="E75" s="13">
        <f>E72/12</f>
        <v/>
      </c>
    </row>
    <row r="77" ht="22" customHeight="1">
      <c r="A77" s="3" t="inlineStr">
        <is>
          <t xml:space="preserve">  ANBEFALING</t>
        </is>
      </c>
    </row>
    <row r="78">
      <c r="A78" s="5" t="inlineStr">
        <is>
          <t>Laveste reelle skat (ekskl. M3 VSO opsp. der kun udskyder)</t>
        </is>
      </c>
      <c r="B78" s="16">
        <f>IF(B71=MIN(B71,C71,E71),"M1 Kapitalindkomst",IF(C71=MIN(B71,C71,E71),"M2 VSO udbetalt","M4 KAO"))</f>
        <v/>
      </c>
    </row>
    <row r="79">
      <c r="A79" s="5" t="inlineStr">
        <is>
          <t>Skat ved anbefalet metode (årlig)</t>
        </is>
      </c>
      <c r="B79" s="12">
        <f>MIN(B71,C71,E71)</f>
        <v/>
      </c>
    </row>
    <row r="80">
      <c r="A80" s="5" t="inlineStr">
        <is>
          <t>Reelt overskud per md (anbefalet)</t>
        </is>
      </c>
      <c r="B80" s="12">
        <f>(B60-MIN(B71,C71,E71))/12</f>
        <v/>
      </c>
    </row>
    <row r="81">
      <c r="A81" s="7" t="inlineStr">
        <is>
          <t>M3 (VSO opsparet) sparer mere på kort sigt men kun fordi skatten udskydes — ved hævning betales op til personlig sats.</t>
        </is>
      </c>
    </row>
    <row r="83" ht="22" customHeight="1">
      <c r="A83" s="3" t="inlineStr">
        <is>
          <t xml:space="preserve">  BREAK-EVEN MÅNEDLIG LEJE  (kr/md, skat indregnet)</t>
        </is>
      </c>
    </row>
    <row r="84">
      <c r="A84" s="14" t="inlineStr"/>
      <c r="B84" s="17" t="inlineStr">
        <is>
          <t>M1 Kap.indk.</t>
        </is>
      </c>
      <c r="C84" s="17" t="inlineStr">
        <is>
          <t>M2 VSO udb.</t>
        </is>
      </c>
      <c r="D84" s="17" t="inlineStr">
        <is>
          <t>M3 VSO opsp.</t>
        </is>
      </c>
      <c r="E84" s="17" t="inlineStr">
        <is>
          <t>M4 KAO</t>
        </is>
      </c>
    </row>
    <row r="85">
      <c r="A85" s="5" t="inlineStr">
        <is>
          <t>Lejen for likviditet = 0 (afdrag betales af lejen)</t>
        </is>
      </c>
      <c r="B85" s="12">
        <f>(B43 + (B9*12 - B38*B26/100)/(1-B25/100))/12</f>
        <v/>
      </c>
      <c r="C85" s="12">
        <f>(B43 + (B9*12 - B38*B27/100)/(1-B27/100))/12</f>
        <v/>
      </c>
      <c r="D85" s="12">
        <f>(B43 + (B9*12 - B38*B28/100)/(1-B28/100))/12</f>
        <v/>
      </c>
      <c r="E85" s="12">
        <f>(B43 + (B9*12 - B38*B25/100)/(1-B25/100))/12</f>
        <v/>
      </c>
    </row>
    <row r="86">
      <c r="A86" s="5" t="inlineStr">
        <is>
          <t>Lejen for økonomisk overskud = 0 (afdrag = formue)</t>
        </is>
      </c>
      <c r="B86" s="12">
        <f>(B43 + B38*(1-B26/100)/(1-B25/100))/12</f>
        <v/>
      </c>
      <c r="C86" s="12">
        <f>(B43 + B38)/12</f>
        <v/>
      </c>
      <c r="D86" s="12">
        <f>(B43 + B38)/12</f>
        <v/>
      </c>
      <c r="E86" s="12">
        <f>(B43 + B38)/12</f>
        <v/>
      </c>
    </row>
    <row r="87">
      <c r="A87" s="7" t="inlineStr">
        <is>
          <t>Likviditet=0: lejen dækker drift + hele ydelsen (incl. afdrag). Du lægger 0 til.</t>
        </is>
      </c>
    </row>
    <row r="88">
      <c r="A88" s="7" t="inlineStr">
        <is>
          <t>Økon.=0: lejen dækker drift + renter. Afdrag = formueopbygning oveni.</t>
        </is>
      </c>
    </row>
  </sheetData>
  <mergeCells count="13">
    <mergeCell ref="A24:F24"/>
    <mergeCell ref="A11:F11"/>
    <mergeCell ref="A63:F63"/>
    <mergeCell ref="A47:F47"/>
    <mergeCell ref="A31:F31"/>
    <mergeCell ref="A6:F6"/>
    <mergeCell ref="A17:F17"/>
    <mergeCell ref="A35:F35"/>
    <mergeCell ref="A4:F4"/>
    <mergeCell ref="A83:F83"/>
    <mergeCell ref="A77:F77"/>
    <mergeCell ref="A55:F55"/>
    <mergeCell ref="A81:F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8" t="inlineStr">
        <is>
          <t>FARVEKODER</t>
        </is>
      </c>
    </row>
    <row r="2">
      <c r="A2" t="inlineStr">
        <is>
          <t>Gule felter:    Justerbare INPUTS - skriv dine egne tal.</t>
        </is>
      </c>
    </row>
    <row r="3">
      <c r="A3" t="inlineStr">
        <is>
          <t>Grønne felter:  Auto-beregnede outputs (formler).</t>
        </is>
      </c>
    </row>
    <row r="4">
      <c r="A4" t="inlineStr">
        <is>
          <t>Mørke felter:   Sektionsoverskrifter.</t>
        </is>
      </c>
    </row>
    <row r="5">
      <c r="A5" t="inlineStr">
        <is>
          <t>Gylden:         Vigtige nøgletal og anbefaling.</t>
        </is>
      </c>
    </row>
    <row r="6">
      <c r="A6" t="inlineStr"/>
    </row>
    <row r="7">
      <c r="A7" s="18" t="inlineStr">
        <is>
          <t>METODER</t>
        </is>
      </c>
    </row>
    <row r="8">
      <c r="A8" t="inlineStr">
        <is>
          <t>M1 Personlig kapitalindkomst (default ved fuld helårsudlejning):</t>
        </is>
      </c>
    </row>
    <row r="9">
      <c r="A9" t="inlineStr">
        <is>
          <t xml:space="preserve">    Lejeoverskud (før renter) beskattes som positiv kap.indk. (~37,7%).</t>
        </is>
      </c>
    </row>
    <row r="10">
      <c r="A10" t="inlineStr">
        <is>
          <t xml:space="preserve">    Renter er privat negativ kap.indk. - fradragsværdi ~25,6%.</t>
        </is>
      </c>
    </row>
    <row r="11">
      <c r="A11" t="inlineStr">
        <is>
          <t xml:space="preserve">    Ingen særlig ordning kræves.</t>
        </is>
      </c>
    </row>
    <row r="12">
      <c r="A12" t="inlineStr"/>
    </row>
    <row r="13">
      <c r="A13" t="inlineStr">
        <is>
          <t>M2 VSO udbetalt: hele virksomhedsoverskuddet hæves som personlig indkomst.</t>
        </is>
      </c>
    </row>
    <row r="14">
      <c r="A14" t="inlineStr">
        <is>
          <t xml:space="preserve">    Renter flyttes til virksomhedens resultat → personlig indk. fradrag (~52%).</t>
        </is>
      </c>
    </row>
    <row r="15">
      <c r="A15" t="inlineStr">
        <is>
          <t xml:space="preserve">    Resultat efter renter beskattes med ~52% (kan udløse topskat).</t>
        </is>
      </c>
    </row>
    <row r="16">
      <c r="A16" t="inlineStr">
        <is>
          <t xml:space="preserve">    Kræver fuldt adskilt regnskab og bankkonto.</t>
        </is>
      </c>
    </row>
    <row r="17">
      <c r="A17" t="inlineStr"/>
    </row>
    <row r="18">
      <c r="A18" t="inlineStr">
        <is>
          <t>M3 VSO opsparet: overskud beholdes i virksomheden, foreløbig 22% skat.</t>
        </is>
      </c>
    </row>
    <row r="19">
      <c r="A19" t="inlineStr">
        <is>
          <t xml:space="preserve">    Ved senere hævning betales differencen op til personlig sats.</t>
        </is>
      </c>
    </row>
    <row r="20">
      <c r="A20" t="inlineStr">
        <is>
          <t xml:space="preserve">    Likviditetsforbedring nu - skat udskudt, ikke fjernet.</t>
        </is>
      </c>
    </row>
    <row r="21">
      <c r="A21" t="inlineStr"/>
    </row>
    <row r="22">
      <c r="A22" t="inlineStr">
        <is>
          <t>M4 KAO Kapitalafkastordningen: kapitalafkast (3% af anskaffelsessum) flyttes</t>
        </is>
      </c>
    </row>
    <row r="23">
      <c r="A23" t="inlineStr">
        <is>
          <t xml:space="preserve">    fra personlig indkomst til kapitalindkomst (37,7% i stedet for 52%).</t>
        </is>
      </c>
    </row>
    <row r="24">
      <c r="A24" t="inlineStr">
        <is>
          <t xml:space="preserve">    Ved store anskaffelsessummer (som dit 4,875 mio) kan hele resultatet flyttes.</t>
        </is>
      </c>
    </row>
    <row r="25">
      <c r="A25" t="inlineStr">
        <is>
          <t xml:space="preserve">    Forenklet beregning - ignorerer detail-reguleringer i KAO-regelsættet.</t>
        </is>
      </c>
    </row>
    <row r="26">
      <c r="A26" t="inlineStr"/>
    </row>
    <row r="27">
      <c r="A27" s="18" t="inlineStr">
        <is>
          <t>FORBEHOLD</t>
        </is>
      </c>
    </row>
    <row r="28">
      <c r="A28" t="inlineStr">
        <is>
          <t>- Ejendomsværdiskat = 0 ved 100% helårsudlejning hele året.</t>
        </is>
      </c>
    </row>
    <row r="29">
      <c r="A29" t="inlineStr">
        <is>
          <t>- Ved erhvervsmæssig udlejning kan parcelhusreglen mistes → evt. skat ved salg.</t>
        </is>
      </c>
    </row>
    <row r="30">
      <c r="A30" t="inlineStr">
        <is>
          <t>- Lejen skal være markedsleje. Skat kan fiksere lejen ved underleje.</t>
        </is>
      </c>
    </row>
    <row r="31">
      <c r="A31" t="inlineStr">
        <is>
          <t>- Cibor3-renten varierer kvartalsvist - juster B8 ved rentetilpasning.</t>
        </is>
      </c>
    </row>
    <row r="32">
      <c r="A32" t="inlineStr">
        <is>
          <t>- Vedligeholdsfradrag dækker kun reparationer, ikke forbedringer.</t>
        </is>
      </c>
    </row>
    <row r="33">
      <c r="A33" t="inlineStr">
        <is>
          <t>- Konsulter en revisor før valg af VSO/KAO i selvangivelsen.</t>
        </is>
      </c>
    </row>
    <row r="34">
      <c r="A34" t="inlineStr"/>
    </row>
    <row r="35">
      <c r="A35" s="18" t="inlineStr">
        <is>
          <t>BREAK-EVEN</t>
        </is>
      </c>
    </row>
    <row r="36">
      <c r="A36" t="inlineStr">
        <is>
          <t>Likviditet = 0:</t>
        </is>
      </c>
    </row>
    <row r="37">
      <c r="A37" t="inlineStr">
        <is>
          <t xml:space="preserve">    Lejen dækker drift + hele ydelsen (renter + afdrag) + skat.</t>
        </is>
      </c>
    </row>
    <row r="38">
      <c r="A38" t="inlineStr">
        <is>
          <t xml:space="preserve">    Du tilbageholder 0 kr af egen indkomst per måned.</t>
        </is>
      </c>
    </row>
    <row r="39">
      <c r="A39" t="inlineStr">
        <is>
          <t>Økonomisk overskud = 0:</t>
        </is>
      </c>
    </row>
    <row r="40">
      <c r="A40" t="inlineStr">
        <is>
          <t xml:space="preserve">    Lejen dækker drift + renter + skat.</t>
        </is>
      </c>
    </row>
    <row r="41">
      <c r="A41" t="inlineStr">
        <is>
          <t xml:space="preserve">    Afdragene (~7.200 kr/md) er ren formueopbygning - ikke en omkostning.</t>
        </is>
      </c>
    </row>
    <row r="42">
      <c r="A42" t="inlineStr">
        <is>
          <t xml:space="preserve">    Reelt overskud per md = afdrag = formuetilvækst.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2026-04-26T21:47:34Z</dcterms:created>
  <dcterms:modified xsi:type="dcterms:W3CDTF">2026-04-26T21:47:34Z</dcterms:modified>
</cp:coreProperties>
</file>